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1" documentId="8_{4F1CA933-98FE-4E3B-85B3-3E8FAB6D91D8}" xr6:coauthVersionLast="47" xr6:coauthVersionMax="47" xr10:uidLastSave="{849BE222-D138-446D-8A2C-A94FE81267C8}"/>
  <bookViews>
    <workbookView xWindow="-120" yWindow="-120" windowWidth="38640" windowHeight="21120" xr2:uid="{00000000-000D-0000-FFFF-FFFF00000000}"/>
  </bookViews>
  <sheets>
    <sheet name="Data" sheetId="2" r:id="rId1"/>
    <sheet name="Ticker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 a="1"/>
  <c r="B4" i="3" a="1"/>
  <c r="B5" i="3" a="1"/>
  <c r="B5" i="3" l="1"/>
  <c r="B4" i="3"/>
  <c r="B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<sst xmlns="http://schemas.openxmlformats.org/spreadsheetml/2006/main" count="98" uniqueCount="73">
  <si>
    <t>Pricing Date</t>
  </si>
  <si>
    <t>2025-07-11</t>
  </si>
  <si>
    <t>Region: United States</t>
  </si>
  <si>
    <t>Instrument: Fed Funds Futures</t>
  </si>
  <si>
    <t>Target Rate</t>
  </si>
  <si>
    <t>Effective Rate</t>
  </si>
  <si>
    <t>Cur. Imp. O/N Rate</t>
  </si>
  <si>
    <t>Meeting</t>
  </si>
  <si>
    <t>#Hikes/Cuts</t>
  </si>
  <si>
    <t>%Hike/Cut</t>
  </si>
  <si>
    <t>Imp. Rate ∆</t>
  </si>
  <si>
    <t>Implied Rate</t>
  </si>
  <si>
    <t>A.R.M.</t>
  </si>
  <si>
    <t>07/30/2025</t>
  </si>
  <si>
    <t>09/17/2025</t>
  </si>
  <si>
    <t>10/29/2025</t>
  </si>
  <si>
    <t>12/10/2025</t>
  </si>
  <si>
    <t>01/28/2026</t>
  </si>
  <si>
    <t>03/18/2026</t>
  </si>
  <si>
    <t>04/29/2026</t>
  </si>
  <si>
    <t>06/17/2026</t>
  </si>
  <si>
    <t>07/29/2026</t>
  </si>
  <si>
    <t>09/16/2026</t>
  </si>
  <si>
    <t>10/28/2026</t>
  </si>
  <si>
    <t>12/09/2026</t>
  </si>
  <si>
    <t>US0ANM JUL2025 Index</t>
  </si>
  <si>
    <t>US0APR JUL2025 Index</t>
  </si>
  <si>
    <t>US0ACH JUL2025 Index</t>
  </si>
  <si>
    <t>US0AFR JUL2025 Index</t>
  </si>
  <si>
    <t>US0ANM SEP2025 Index</t>
  </si>
  <si>
    <t>US0APR SEP2025 Index</t>
  </si>
  <si>
    <t>US0ACH SEP2025 Index</t>
  </si>
  <si>
    <t>US0AFR SEP2025 Index</t>
  </si>
  <si>
    <t>US0ANM OCT2025 Index</t>
  </si>
  <si>
    <t>US0APR OCT2025 Index</t>
  </si>
  <si>
    <t>US0ACH OCT2025 Index</t>
  </si>
  <si>
    <t>US0AFR OCT2025 Index</t>
  </si>
  <si>
    <t>US0ANM DEC2025 Index</t>
  </si>
  <si>
    <t>US0APR DEC2025 Index</t>
  </si>
  <si>
    <t>US0ACH DEC2025 Index</t>
  </si>
  <si>
    <t>US0AFR DEC2025 Index</t>
  </si>
  <si>
    <t>US0ANM JAN2026 Index</t>
  </si>
  <si>
    <t>US0APR JAN2026 Index</t>
  </si>
  <si>
    <t>US0ACH JAN2026 Index</t>
  </si>
  <si>
    <t>US0AFR JAN2026 Index</t>
  </si>
  <si>
    <t>US0ANM MAR2026 Index</t>
  </si>
  <si>
    <t>US0APR MAR2026 Index</t>
  </si>
  <si>
    <t>US0ACH MAR2026 Index</t>
  </si>
  <si>
    <t>US0AFR MAR2026 Index</t>
  </si>
  <si>
    <t>US0ANM APR2026 Index</t>
  </si>
  <si>
    <t>US0APR APR2026 Index</t>
  </si>
  <si>
    <t>US0ACH APR2026 Index</t>
  </si>
  <si>
    <t>US0AFR APR2026 Index</t>
  </si>
  <si>
    <t>US0ANM JUN2026 Index</t>
  </si>
  <si>
    <t>US0APR JUN2026 Index</t>
  </si>
  <si>
    <t>US0ACH JUN2026 Index</t>
  </si>
  <si>
    <t>US0AFR JUN2026 Index</t>
  </si>
  <si>
    <t>US0ANM JUL2026 Index</t>
  </si>
  <si>
    <t>US0APR JUL2026 Index</t>
  </si>
  <si>
    <t>US0ACH JUL2026 Index</t>
  </si>
  <si>
    <t>US0AFR JUL2026 Index</t>
  </si>
  <si>
    <t>US0ANM SEP2026 Index</t>
  </si>
  <si>
    <t>US0APR SEP2026 Index</t>
  </si>
  <si>
    <t>US0ACH SEP2026 Index</t>
  </si>
  <si>
    <t>US0AFR SEP2026 Index</t>
  </si>
  <si>
    <t>US0ANM OCT2026 Index</t>
  </si>
  <si>
    <t>US0APR OCT2026 Index</t>
  </si>
  <si>
    <t>US0ACH OCT2026 Index</t>
  </si>
  <si>
    <t>US0AFR OCT2026 Index</t>
  </si>
  <si>
    <t>US0ANM DEC2026 Index</t>
  </si>
  <si>
    <t>US0APR DEC2026 Index</t>
  </si>
  <si>
    <t>US0ACH DEC2026 Index</t>
  </si>
  <si>
    <t>US0AFR DEC2026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</si>
</sst>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11" sqref="A11"/>
    </sheetView>
  </sheetViews>
  <sheetFormatPr defaultRowHeight="15"/>
  <cols>
    <col min="1" max="1" width="38" customWidth="1"/>
    <col min="2" max="6" width="19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>
        <v>4.5</v>
      </c>
    </row>
    <row r="4" spans="1:6">
      <c r="A4" t="s">
        <v>5</v>
      </c>
      <c r="B4">
        <v>4.33</v>
      </c>
    </row>
    <row r="5" spans="1:6">
      <c r="A5" t="s">
        <v>6</v>
      </c>
      <c r="B5">
        <v>4.3289999999999997</v>
      </c>
    </row>
    <row r="6" spans="1: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>
      <c r="A7" t="s">
        <v>13</v>
      </c>
      <c r="B7">
        <v>-6.7000000000000004E-2</v>
      </c>
      <c r="C7">
        <v>-6.7</v>
      </c>
      <c r="D7">
        <v>-1.7000000000000001E-2</v>
      </c>
      <c r="E7">
        <v>4.3129999999999997</v>
      </c>
      <c r="F7">
        <v>0.25</v>
      </c>
    </row>
    <row r="8" spans="1:6">
      <c r="A8" t="s">
        <v>14</v>
      </c>
      <c r="B8">
        <v>-0.70099999999999996</v>
      </c>
      <c r="C8">
        <v>-63.4</v>
      </c>
      <c r="D8">
        <v>-0.17499999999999999</v>
      </c>
      <c r="E8">
        <v>4.1539999999999999</v>
      </c>
      <c r="F8">
        <v>0.25</v>
      </c>
    </row>
    <row r="9" spans="1:6">
      <c r="A9" t="s">
        <v>15</v>
      </c>
      <c r="B9">
        <v>-1.2869999999999999</v>
      </c>
      <c r="C9">
        <v>-58.6</v>
      </c>
      <c r="D9">
        <v>-0.32200000000000001</v>
      </c>
      <c r="E9">
        <v>4.008</v>
      </c>
      <c r="F9">
        <v>0.25</v>
      </c>
    </row>
    <row r="10" spans="1:6">
      <c r="A10" t="s">
        <v>16</v>
      </c>
      <c r="B10">
        <v>-2.004</v>
      </c>
      <c r="C10">
        <v>-71.7</v>
      </c>
      <c r="D10">
        <v>-0.501</v>
      </c>
      <c r="E10">
        <v>3.8279999999999998</v>
      </c>
      <c r="F10">
        <v>0.25</v>
      </c>
    </row>
    <row r="11" spans="1:6">
      <c r="A11" t="s">
        <v>17</v>
      </c>
      <c r="B11">
        <v>-2.407</v>
      </c>
      <c r="C11">
        <v>-40.299999999999997</v>
      </c>
      <c r="D11">
        <v>-0.60199999999999998</v>
      </c>
      <c r="E11">
        <v>3.7280000000000002</v>
      </c>
      <c r="F11">
        <v>0.25</v>
      </c>
    </row>
    <row r="12" spans="1:6">
      <c r="A12" t="s">
        <v>18</v>
      </c>
      <c r="B12">
        <v>-2.923</v>
      </c>
      <c r="C12">
        <v>-51.6</v>
      </c>
      <c r="D12">
        <v>-0.73099999999999998</v>
      </c>
      <c r="E12">
        <v>3.5990000000000002</v>
      </c>
      <c r="F12">
        <v>0.25</v>
      </c>
    </row>
    <row r="13" spans="1:6">
      <c r="A13" t="s">
        <v>19</v>
      </c>
      <c r="B13">
        <v>-3.2269999999999999</v>
      </c>
      <c r="C13">
        <v>-30.4</v>
      </c>
      <c r="D13">
        <v>-0.80700000000000005</v>
      </c>
      <c r="E13">
        <v>3.5230000000000001</v>
      </c>
      <c r="F13">
        <v>0.25</v>
      </c>
    </row>
    <row r="14" spans="1:6">
      <c r="A14" t="s">
        <v>20</v>
      </c>
      <c r="B14">
        <v>-3.7360000000000002</v>
      </c>
      <c r="C14">
        <v>-50.9</v>
      </c>
      <c r="D14">
        <v>-0.93400000000000005</v>
      </c>
      <c r="E14">
        <v>3.395</v>
      </c>
      <c r="F14">
        <v>0.25</v>
      </c>
    </row>
    <row r="15" spans="1:6">
      <c r="A15" t="s">
        <v>21</v>
      </c>
      <c r="B15">
        <v>-4.0469999999999997</v>
      </c>
      <c r="C15">
        <v>-31.1</v>
      </c>
      <c r="D15">
        <v>-1.012</v>
      </c>
      <c r="E15">
        <v>3.3170000000000002</v>
      </c>
      <c r="F15">
        <v>0.25</v>
      </c>
    </row>
    <row r="16" spans="1:6">
      <c r="A16" t="s">
        <v>22</v>
      </c>
      <c r="B16">
        <v>-4.383</v>
      </c>
      <c r="C16">
        <v>-33.6</v>
      </c>
      <c r="D16">
        <v>-1.0960000000000001</v>
      </c>
      <c r="E16">
        <v>3.234</v>
      </c>
      <c r="F16">
        <v>0.25</v>
      </c>
    </row>
    <row r="17" spans="1:6">
      <c r="A17" t="s">
        <v>23</v>
      </c>
      <c r="B17">
        <v>-4.4969999999999999</v>
      </c>
      <c r="C17">
        <v>-11.4</v>
      </c>
      <c r="D17">
        <v>-1.1240000000000001</v>
      </c>
      <c r="E17">
        <v>3.2050000000000001</v>
      </c>
      <c r="F17">
        <v>0.25</v>
      </c>
    </row>
    <row r="18" spans="1:6">
      <c r="A18" t="s">
        <v>24</v>
      </c>
      <c r="B18">
        <v>-4.6379999999999999</v>
      </c>
      <c r="C18">
        <v>-14.1</v>
      </c>
      <c r="D18">
        <v>-1.1599999999999999</v>
      </c>
      <c r="E18">
        <v>3.17</v>
      </c>
      <c r="F18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5"/>
  <cols>
    <col min="1" max="1" width="38" customWidth="1"/>
    <col min="2" max="6" width="19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cm="1">
        <f t="array" ref="B3">_xll.BDP("FDTR Index", "RQ005")</f>
        <v>4.5</v>
      </c>
    </row>
    <row r="4" spans="1:6">
      <c r="A4" t="s">
        <v>5</v>
      </c>
      <c r="B4" cm="1">
        <f t="array" ref="B4">_xll.BDP("FEDL01 Index", "RQ005")</f>
        <v>4.33</v>
      </c>
    </row>
    <row r="5" spans="1:6">
      <c r="A5" t="s">
        <v>6</v>
      </c>
      <c r="B5" cm="1">
        <f t="array" ref="B5">_xll.BDP("US0ACR Index", "RQ005")</f>
        <v>4.3289999999999997</v>
      </c>
    </row>
    <row r="6" spans="1: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>
      <c r="A7" t="s">
        <v>13</v>
      </c>
      <c r="B7" t="s">
        <v>25</v>
      </c>
      <c r="C7" t="s">
        <v>26</v>
      </c>
      <c r="D7" t="s">
        <v>27</v>
      </c>
      <c r="E7" t="s">
        <v>28</v>
      </c>
      <c r="F7">
        <v>0.25</v>
      </c>
    </row>
    <row r="8" spans="1:6">
      <c r="A8" t="s">
        <v>14</v>
      </c>
      <c r="B8" t="s">
        <v>29</v>
      </c>
      <c r="C8" t="s">
        <v>30</v>
      </c>
      <c r="D8" t="s">
        <v>31</v>
      </c>
      <c r="E8" t="s">
        <v>32</v>
      </c>
      <c r="F8">
        <v>0.25</v>
      </c>
    </row>
    <row r="9" spans="1:6">
      <c r="A9" t="s">
        <v>15</v>
      </c>
      <c r="B9" t="s">
        <v>33</v>
      </c>
      <c r="C9" t="s">
        <v>34</v>
      </c>
      <c r="D9" t="s">
        <v>35</v>
      </c>
      <c r="E9" t="s">
        <v>36</v>
      </c>
      <c r="F9">
        <v>0.25</v>
      </c>
    </row>
    <row r="10" spans="1:6">
      <c r="A10" t="s">
        <v>16</v>
      </c>
      <c r="B10" t="s">
        <v>37</v>
      </c>
      <c r="C10" t="s">
        <v>38</v>
      </c>
      <c r="D10" t="s">
        <v>39</v>
      </c>
      <c r="E10" t="s">
        <v>40</v>
      </c>
      <c r="F10">
        <v>0.25</v>
      </c>
    </row>
    <row r="11" spans="1:6">
      <c r="A11" t="s">
        <v>17</v>
      </c>
      <c r="B11" t="s">
        <v>41</v>
      </c>
      <c r="C11" t="s">
        <v>42</v>
      </c>
      <c r="D11" t="s">
        <v>43</v>
      </c>
      <c r="E11" t="s">
        <v>44</v>
      </c>
      <c r="F11">
        <v>0.25</v>
      </c>
    </row>
    <row r="12" spans="1:6">
      <c r="A12" t="s">
        <v>18</v>
      </c>
      <c r="B12" t="s">
        <v>45</v>
      </c>
      <c r="C12" t="s">
        <v>46</v>
      </c>
      <c r="D12" t="s">
        <v>47</v>
      </c>
      <c r="E12" t="s">
        <v>48</v>
      </c>
      <c r="F12">
        <v>0.25</v>
      </c>
    </row>
    <row r="13" spans="1:6">
      <c r="A13" t="s">
        <v>19</v>
      </c>
      <c r="B13" t="s">
        <v>49</v>
      </c>
      <c r="C13" t="s">
        <v>50</v>
      </c>
      <c r="D13" t="s">
        <v>51</v>
      </c>
      <c r="E13" t="s">
        <v>52</v>
      </c>
      <c r="F13">
        <v>0.25</v>
      </c>
    </row>
    <row r="14" spans="1:6">
      <c r="A14" t="s">
        <v>20</v>
      </c>
      <c r="B14" t="s">
        <v>53</v>
      </c>
      <c r="C14" t="s">
        <v>54</v>
      </c>
      <c r="D14" t="s">
        <v>55</v>
      </c>
      <c r="E14" t="s">
        <v>56</v>
      </c>
      <c r="F14">
        <v>0.25</v>
      </c>
    </row>
    <row r="15" spans="1:6">
      <c r="A15" t="s">
        <v>21</v>
      </c>
      <c r="B15" t="s">
        <v>57</v>
      </c>
      <c r="C15" t="s">
        <v>58</v>
      </c>
      <c r="D15" t="s">
        <v>59</v>
      </c>
      <c r="E15" t="s">
        <v>60</v>
      </c>
      <c r="F15">
        <v>0.25</v>
      </c>
    </row>
    <row r="16" spans="1:6">
      <c r="A16" t="s">
        <v>22</v>
      </c>
      <c r="B16" t="s">
        <v>61</v>
      </c>
      <c r="C16" t="s">
        <v>62</v>
      </c>
      <c r="D16" t="s">
        <v>63</v>
      </c>
      <c r="E16" t="s">
        <v>64</v>
      </c>
      <c r="F16">
        <v>0.25</v>
      </c>
    </row>
    <row r="17" spans="1:6">
      <c r="A17" t="s">
        <v>23</v>
      </c>
      <c r="B17" t="s">
        <v>65</v>
      </c>
      <c r="C17" t="s">
        <v>66</v>
      </c>
      <c r="D17" t="s">
        <v>67</v>
      </c>
      <c r="E17" t="s">
        <v>68</v>
      </c>
      <c r="F17">
        <v>0.25</v>
      </c>
    </row>
    <row r="18" spans="1:6">
      <c r="A18" t="s">
        <v>24</v>
      </c>
      <c r="B18" t="s">
        <v>69</v>
      </c>
      <c r="C18" t="s">
        <v>70</v>
      </c>
      <c r="D18" t="s">
        <v>71</v>
      </c>
      <c r="E18" t="s">
        <v>72</v>
      </c>
      <c r="F1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Togay Atmaca</cp:lastModifiedBy>
  <cp:revision/>
  <dcterms:created xsi:type="dcterms:W3CDTF">2013-04-03T15:49:21Z</dcterms:created>
  <dcterms:modified xsi:type="dcterms:W3CDTF">2025-07-20T00:08:43Z</dcterms:modified>
  <cp:category/>
  <cp:contentStatus/>
</cp:coreProperties>
</file>